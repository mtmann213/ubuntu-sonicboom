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usaf.dps.mil/teams/453EWSALL731/Shared Documents/Waveform Development/Lab Equipment/453rd Lab Equipment/"/>
    </mc:Choice>
  </mc:AlternateContent>
  <xr:revisionPtr revIDLastSave="112" documentId="8_{875A20B1-4E9D-44B2-8281-7B31E8B704BF}" xr6:coauthVersionLast="47" xr6:coauthVersionMax="47" xr10:uidLastSave="{40704EB1-EA00-4846-A0B2-6954FB4D9990}"/>
  <bookViews>
    <workbookView xWindow="-38510" yWindow="30" windowWidth="38620" windowHeight="20960" firstSheet="1" activeTab="1" xr2:uid="{20C67E5E-FCCD-4440-8449-4A2954D52333}"/>
  </bookViews>
  <sheets>
    <sheet name="SWORD-A BOM" sheetId="1" r:id="rId1"/>
    <sheet name="GPU Serv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" l="1"/>
  <c r="F64" i="1"/>
  <c r="F57" i="1"/>
  <c r="F33" i="1"/>
  <c r="F44" i="1"/>
  <c r="F15" i="1"/>
  <c r="F66" i="1" s="1"/>
  <c r="F24" i="1"/>
</calcChain>
</file>

<file path=xl/sharedStrings.xml><?xml version="1.0" encoding="utf-8"?>
<sst xmlns="http://schemas.openxmlformats.org/spreadsheetml/2006/main" count="233" uniqueCount="179">
  <si>
    <t>1. Core Hardware</t>
  </si>
  <si>
    <t>Item</t>
  </si>
  <si>
    <t>Qty</t>
  </si>
  <si>
    <t>Model/Part #</t>
  </si>
  <si>
    <t>Big Picture / Justification</t>
  </si>
  <si>
    <t>Approx. Price</t>
  </si>
  <si>
    <t>Sidekiq X4 PDK Bundle</t>
  </si>
  <si>
    <t>ES024-101</t>
  </si>
  <si>
    <r>
      <t>Primary Ingest:</t>
    </r>
    <r>
      <rPr>
        <sz val="8"/>
        <color rgb="FF1F2328"/>
        <rFont val="Segoe UI"/>
        <family val="2"/>
      </rPr>
      <t> Includes X4 card, TB3 chassis, FPGA carrier, and Dev Laptop.</t>
    </r>
  </si>
  <si>
    <t>Quote #342624</t>
  </si>
  <si>
    <t>Sidekiq Maintenance</t>
  </si>
  <si>
    <t>ES024-599-1</t>
  </si>
  <si>
    <r>
      <t>Support:</t>
    </r>
    <r>
      <rPr>
        <sz val="8"/>
        <color rgb="FF1F2328"/>
        <rFont val="Segoe UI"/>
        <family val="2"/>
      </rPr>
      <t> 1 additional year of maintenance/support (2 years total).</t>
    </r>
  </si>
  <si>
    <t>Crystal 3U GPU Server</t>
  </si>
  <si>
    <t>CMS-00891 (Dual A40)</t>
  </si>
  <si>
    <r>
      <t>DSP/ML Engine:</t>
    </r>
    <r>
      <rPr>
        <sz val="8"/>
        <color rgb="FF1F2328"/>
        <rFont val="Segoe UI"/>
        <family val="2"/>
      </rPr>
      <t> Rugged hosts for NVIDIA A40s. </t>
    </r>
  </si>
  <si>
    <t>Tab 2 for breakout, added some buffer from recommended specs due to IT costs going up rapidly</t>
  </si>
  <si>
    <t>USRP N310</t>
  </si>
  <si>
    <t>Ettus 785067-01</t>
  </si>
  <si>
    <r>
      <t>High-Fidelity Sensor:</t>
    </r>
    <r>
      <rPr>
        <sz val="8"/>
        <color rgb="FF1F2328"/>
        <rFont val="Segoe UI"/>
        <family val="2"/>
      </rPr>
      <t> 4-channel phase-coherent SDR.</t>
    </r>
  </si>
  <si>
    <t>Would benefit from multiple N310s</t>
  </si>
  <si>
    <t>Ruckus ICX Switch</t>
  </si>
  <si>
    <t>ICX7850-48F-E2</t>
  </si>
  <si>
    <r>
      <t>The Backplane:</t>
    </r>
    <r>
      <rPr>
        <sz val="8"/>
        <color rgb="FF1F2328"/>
        <rFont val="Segoe UI"/>
        <family val="2"/>
      </rPr>
      <t> 40/100GbE data mover.</t>
    </r>
  </si>
  <si>
    <t>Keysight MXG</t>
  </si>
  <si>
    <t>N5182A-506</t>
  </si>
  <si>
    <r>
      <t>Validation:</t>
    </r>
    <r>
      <rPr>
        <sz val="8"/>
        <color rgb="FF1F2328"/>
        <rFont val="Segoe UI"/>
        <family val="2"/>
      </rPr>
      <t> Vector Signal Generator for calibration. </t>
    </r>
    <r>
      <rPr>
        <i/>
        <sz val="8"/>
        <color rgb="FF1F2328"/>
        <rFont val="Segoe UI"/>
        <family val="2"/>
      </rPr>
      <t>Refurbished/Certified.</t>
    </r>
  </si>
  <si>
    <t>Currently have 2. Don't know status</t>
  </si>
  <si>
    <t>Brandywine NFS220</t>
  </si>
  <si>
    <r>
      <t>Grandmaster Clock:</t>
    </r>
    <r>
      <rPr>
        <sz val="8"/>
        <color rgb="FF1F2328"/>
        <rFont val="Segoe UI"/>
        <family val="2"/>
      </rPr>
      <t> Ultra-stable 10MHz/1PPS.</t>
    </r>
  </si>
  <si>
    <t>USRP B210</t>
  </si>
  <si>
    <t>Ettus B210</t>
  </si>
  <si>
    <r>
      <t>Local Monitoring:</t>
    </r>
    <r>
      <rPr>
        <sz val="8"/>
        <color rgb="FF1F2328"/>
        <rFont val="Segoe UI"/>
        <family val="2"/>
      </rPr>
      <t> Portable SDR for bench testing.</t>
    </r>
  </si>
  <si>
    <t>Would benefit from multiple B210s</t>
  </si>
  <si>
    <t>SeaLevel Serial Card</t>
  </si>
  <si>
    <t>7804EC</t>
  </si>
  <si>
    <r>
      <t>System Control:</t>
    </r>
    <r>
      <rPr>
        <sz val="8"/>
        <color rgb="FF1F2328"/>
        <rFont val="Segoe UI"/>
        <family val="2"/>
      </rPr>
      <t> Interface for external sensors/rotors.</t>
    </r>
  </si>
  <si>
    <t>Shipping &amp; Handling</t>
  </si>
  <si>
    <t>Procurement logistics for Sidekiq PDK.</t>
  </si>
  <si>
    <t>SUBTOTAL SECTION 1</t>
  </si>
  <si>
    <t>2. Timing &amp; Power</t>
  </si>
  <si>
    <t>Description</t>
  </si>
  <si>
    <t>Justification</t>
  </si>
  <si>
    <t>GPS Timing Antenna</t>
  </si>
  <si>
    <t>PCTEL GPS-TMG-HR-26N</t>
  </si>
  <si>
    <r>
      <t>REQUIRED:</t>
    </r>
    <r>
      <rPr>
        <sz val="8"/>
        <color rgb="FF1F2328"/>
        <rFont val="Segoe UI"/>
        <family val="2"/>
      </rPr>
      <t> High-rejection antenna for GPS L1 lock.</t>
    </r>
  </si>
  <si>
    <t>LMR-240 Coax (50ft)</t>
  </si>
  <si>
    <t>N(M) to BNC(M)</t>
  </si>
  <si>
    <t>Low-loss antenna feed cable.</t>
  </si>
  <si>
    <t>Mean Well 12V PSU</t>
  </si>
  <si>
    <t>RCP-1000-12 (1U)</t>
  </si>
  <si>
    <t>Clean DC source for USRP N310.</t>
  </si>
  <si>
    <t>Mean Well 1U Shelf</t>
  </si>
  <si>
    <t>RCP-1UI</t>
  </si>
  <si>
    <t>Secure mounting for the DC supply.</t>
  </si>
  <si>
    <t>Tripp-Lite 20A PDU</t>
  </si>
  <si>
    <t>PDUMH20 (Metered)</t>
  </si>
  <si>
    <t>Rack power distribution and monitoring.</t>
  </si>
  <si>
    <t>SUBTOTAL SECTION 2</t>
  </si>
  <si>
    <t>3. Mounting/Housing</t>
  </si>
  <si>
    <t>24U Deep Server Rack</t>
  </si>
  <si>
    <t>APC AR3104</t>
  </si>
  <si>
    <t>42" deep enclosure for GPU chassis.</t>
  </si>
  <si>
    <t>USRP N3xx Rack Kit</t>
  </si>
  <si>
    <t>Ettus 786467-01</t>
  </si>
  <si>
    <t>Adapts half-wide N310 to 1U rack slot.</t>
  </si>
  <si>
    <t>Keysight 2U Rack Kit</t>
  </si>
  <si>
    <t>Keysight 1CM010A</t>
  </si>
  <si>
    <t>Adapts MXG benchtop unit to rack rails.</t>
  </si>
  <si>
    <t>Don't know if we need this</t>
  </si>
  <si>
    <t>M6 Rack Hardware</t>
  </si>
  <si>
    <t>50-Pack Cage Nuts</t>
  </si>
  <si>
    <t>Essential fasteners for rack assembly.</t>
  </si>
  <si>
    <t>Ventilated 2U Shelf</t>
  </si>
  <si>
    <t>StarTech Cantilever</t>
  </si>
  <si>
    <t>Utility space for tools and USRP B210.</t>
  </si>
  <si>
    <t>SUBTOTAL SECTION 3</t>
  </si>
  <si>
    <t>4. Connectivity/Tools</t>
  </si>
  <si>
    <t>30dB SMA Attenuators</t>
  </si>
  <si>
    <t>Signal "Pads"</t>
  </si>
  <si>
    <r>
      <t>HARDWARE SAFETY:</t>
    </r>
    <r>
      <rPr>
        <sz val="8"/>
        <color rgb="FF1F2328"/>
        <rFont val="Segoe UI"/>
        <family val="2"/>
      </rPr>
      <t> Prevents frontend damage.</t>
    </r>
  </si>
  <si>
    <t xml:space="preserve">Can </t>
  </si>
  <si>
    <t>SMA Torque Wrench</t>
  </si>
  <si>
    <t>8 in-lb Precision</t>
  </si>
  <si>
    <t>Ensures perfectly seated RF connections.</t>
  </si>
  <si>
    <t>40G QSFP+ Active Optical Cable (3m)</t>
  </si>
  <si>
    <r>
      <t>ACTIVE</t>
    </r>
    <r>
      <rPr>
        <sz val="8"/>
        <color rgb="FF1F2328"/>
        <rFont val="Segoe UI"/>
        <family val="2"/>
      </rPr>
      <t> Interconnect</t>
    </r>
  </si>
  <si>
    <r>
      <t>Signal Integrity:</t>
    </r>
    <r>
      <rPr>
        <sz val="8"/>
        <color rgb="FF1F2328"/>
        <rFont val="Segoe UI"/>
        <family val="2"/>
      </rPr>
      <t> Active links for zero-error IQ streaming.</t>
    </r>
  </si>
  <si>
    <t>Need to do more research to make sure this is exactly right</t>
  </si>
  <si>
    <t>BNC to SMA Timing</t>
  </si>
  <si>
    <t>3ft Shielded Coax</t>
  </si>
  <si>
    <t>Distributes 10MHz/1PPS heartbeat.</t>
  </si>
  <si>
    <t>SSMC to SMA Pigtails</t>
  </si>
  <si>
    <t>6" LMR-100</t>
  </si>
  <si>
    <t>Brings Sidekiq's internal ports to rack face.</t>
  </si>
  <si>
    <t>Cat6a Shielded Patch</t>
  </si>
  <si>
    <t>1ft/3ft Management</t>
  </si>
  <si>
    <t>Connects control/management network.</t>
  </si>
  <si>
    <t>10G SFP+ to RJ45 Transceiver</t>
  </si>
  <si>
    <t>Switch-to-Workstation</t>
  </si>
  <si>
    <t>Required to connect Workstation to Ruckus switch.</t>
  </si>
  <si>
    <t>SUBTOTAL SECTION 4</t>
  </si>
  <si>
    <t>5. ESD?</t>
  </si>
  <si>
    <t>6. Misc</t>
  </si>
  <si>
    <t>2.2kVA Rack UPS</t>
  </si>
  <si>
    <t>APC Smart-UPS SRT</t>
  </si>
  <si>
    <t>Prevents corruption during power sags.</t>
  </si>
  <si>
    <t>NVMe Recording Tier</t>
  </si>
  <si>
    <t>16TB RAID-0 (Gen4)</t>
  </si>
  <si>
    <r>
      <t>Handles 1.6GB/s raw IQ ingest streams. </t>
    </r>
    <r>
      <rPr>
        <i/>
        <sz val="8"/>
        <color rgb="FF1F2328"/>
        <rFont val="Segoe UI"/>
        <family val="2"/>
      </rPr>
      <t>Based on $1125/8TB.</t>
    </r>
  </si>
  <si>
    <t>1U Fan Tray</t>
  </si>
  <si>
    <t>AC Infinity CLOUDPLATE</t>
  </si>
  <si>
    <t>Thermal stability for sustained GPU loads.</t>
  </si>
  <si>
    <t>IP-KVM Switch</t>
  </si>
  <si>
    <t>Raritan Dominion KX III</t>
  </si>
  <si>
    <t>Remote BIOS-level system control.</t>
  </si>
  <si>
    <t>A few other options ranging in price from $2k-$4k</t>
  </si>
  <si>
    <t>Rack Monitor</t>
  </si>
  <si>
    <t>APC NetBotz 250</t>
  </si>
  <si>
    <t>Real-time temp/humidity health monitoring.</t>
  </si>
  <si>
    <t>Spare Cables/Adapters/etc</t>
  </si>
  <si>
    <t>Adapters, terminators, attenuators, cables, etc</t>
  </si>
  <si>
    <t>SUBTOTAL SECTION 6</t>
  </si>
  <si>
    <t>Engineering Workstation</t>
  </si>
  <si>
    <t>Dell Precision 7680</t>
  </si>
  <si>
    <t>Primary visualization/ML point (i9/64GB/RTX).</t>
  </si>
  <si>
    <t>Any high-end Laptop or Desktop should work</t>
  </si>
  <si>
    <t>10GbE TB4 Adapter</t>
  </si>
  <si>
    <t>OWC Thunderbolt 3/4</t>
  </si>
  <si>
    <t>High-BW data ingest for visualization.</t>
  </si>
  <si>
    <t>Rugged Transit Case</t>
  </si>
  <si>
    <t>Pelican 1535 Air</t>
  </si>
  <si>
    <t>Protective housing for workstation.</t>
  </si>
  <si>
    <t>Probably not necessary</t>
  </si>
  <si>
    <t>SUBTOTAL SECTION 7</t>
  </si>
  <si>
    <t>Total</t>
  </si>
  <si>
    <t>Optional/Redundancy/Upgrade</t>
  </si>
  <si>
    <t>Component</t>
  </si>
  <si>
    <t>Specification / Rationale</t>
  </si>
  <si>
    <t>Low-End / Minimum</t>
  </si>
  <si>
    <t>Recommended</t>
  </si>
  <si>
    <t>High-End / Max Performance</t>
  </si>
  <si>
    <t>Chassis</t>
  </si>
  <si>
    <t>Crystal Group RS378 3U Rugged Server Chassis, Power, and Cooling.</t>
  </si>
  <si>
    <t>$18,000+</t>
  </si>
  <si>
    <t>GPUs</t>
  </si>
  <si>
    <r>
      <t>2x NVIDIA A40</t>
    </r>
    <r>
      <rPr>
        <sz val="8"/>
        <rFont val="Arial"/>
        <family val="2"/>
      </rPr>
      <t> (48GB GDDR6 ECC each). This is the core requirement.</t>
    </r>
  </si>
  <si>
    <t>CPUs</t>
  </si>
  <si>
    <r>
      <t>Dual Processor setup required</t>
    </r>
    <r>
      <rPr>
        <sz val="8"/>
        <rFont val="Arial"/>
        <family val="2"/>
      </rPr>
      <t> for PCIe lanes. Performance scales with core count and clock speed.</t>
    </r>
  </si>
  <si>
    <t>2x Intel Xeon Silver (8-12 cores each)</t>
  </si>
  <si>
    <t>2x Intel Xeon Gold (16-32 cores each)</t>
  </si>
  <si>
    <t>2x Intel Xeon Platinum (40+ cores each)</t>
  </si>
  <si>
    <t>Price</t>
  </si>
  <si>
    <t>$20,000+</t>
  </si>
  <si>
    <t>Memory (RAM)</t>
  </si>
  <si>
    <t>DDR5 ECC Registered RAM. More capacity allows larger datasets to be processed in-memory.</t>
  </si>
  <si>
    <t>256 GB (8x 32GB)</t>
  </si>
  <si>
    <t>512 GB (16x 32GB)</t>
  </si>
  <si>
    <t>1 TB (16x 64GB)</t>
  </si>
  <si>
    <t>Storage (OS)</t>
  </si>
  <si>
    <r>
      <t>RAID-1 Mirror</t>
    </r>
    <r>
      <rPr>
        <sz val="8"/>
        <rFont val="Arial"/>
        <family val="2"/>
      </rPr>
      <t> of Enterprise NVMe M.2 SSDs for OS and application redundancy.</t>
    </r>
  </si>
  <si>
    <t>2x 960GB</t>
  </si>
  <si>
    <t>2x 1.92TB</t>
  </si>
  <si>
    <t>2x 3.84TB</t>
  </si>
  <si>
    <t>Storage (Cache)</t>
  </si>
  <si>
    <r>
      <t>RAID-0 Stripe</t>
    </r>
    <r>
      <rPr>
        <sz val="8"/>
        <rFont val="Arial"/>
        <family val="2"/>
      </rPr>
      <t> of high-endurance Enterprise U.2 NVMe SSDs for IQ ingest and scratch space.</t>
    </r>
  </si>
  <si>
    <t>2x 3.84TB (~7.6TB)</t>
  </si>
  <si>
    <t>2x 7.68TB (~15.3TB)</t>
  </si>
  <si>
    <t>4x 7.68TB (~30.7TB)</t>
  </si>
  <si>
    <t>Networking</t>
  </si>
  <si>
    <t>High-speed NIC to handle data ingest from the SDRs and backplane switch.</t>
  </si>
  <si>
    <t>Dual-Port 25GbE SFP28</t>
  </si>
  <si>
    <t>Dual-Port 100GbE QSFP28</t>
  </si>
  <si>
    <t>Dual-Port 200GbE QSFP56</t>
  </si>
  <si>
    <t>---</t>
  </si>
  <si>
    <t>Total Estimated Component Cost (Per Server)</t>
  </si>
  <si>
    <t>~$44,600</t>
  </si>
  <si>
    <t>~$62,500</t>
  </si>
  <si>
    <t>~$93,000+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</si>
</sst>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  <font>
      <i/>
      <sz val="8"/>
      <color rgb="FF1F2328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8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0" xfId="1" applyFill="1" applyAlignment="1">
      <alignment horizontal="left" vertical="center" wrapText="1" indent="1"/>
    </xf>
    <xf numFmtId="6" fontId="0" fillId="0" borderId="0" xfId="0" applyNumberFormat="1"/>
    <xf numFmtId="0" fontId="3" fillId="3" borderId="0" xfId="1" applyFill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6" fontId="1" fillId="2" borderId="1" xfId="0" applyNumberFormat="1" applyFont="1" applyFill="1" applyBorder="1" applyAlignment="1">
      <alignment horizontal="left" vertical="center" wrapText="1" indent="1"/>
    </xf>
    <xf numFmtId="0" fontId="3" fillId="3" borderId="1" xfId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6" fontId="1" fillId="3" borderId="1" xfId="0" applyNumberFormat="1" applyFont="1" applyFill="1" applyBorder="1" applyAlignment="1">
      <alignment horizontal="left" vertical="center" wrapText="1" indent="1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1"/>
    </xf>
    <xf numFmtId="6" fontId="1" fillId="2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 indent="1"/>
    </xf>
    <xf numFmtId="6" fontId="1" fillId="3" borderId="0" xfId="0" applyNumberFormat="1" applyFont="1" applyFill="1" applyAlignment="1">
      <alignment horizontal="left" vertical="center" wrapText="1" inden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  <xf numFmtId="0" fontId="5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vertical="top" wrapText="1"/>
    </xf>
    <xf numFmtId="0" fontId="6" fillId="0" borderId="0" xfId="0" applyFont="1" applyFill="1" applyAlignment="1">
      <alignment vertical="top" wrapText="1"/>
    </xf>
    <xf numFmtId="6" fontId="5" fillId="0" borderId="0" xfId="0" applyNumberFormat="1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anwell.com/webapp/product/search.aspx?prod=RCP-1UI" TargetMode="External"/><Relationship Id="rId18" Type="http://schemas.openxmlformats.org/officeDocument/2006/relationships/hyperlink" Target="https://www.startech.com/en-us/server-management/cabscrewm6" TargetMode="External"/><Relationship Id="rId26" Type="http://schemas.openxmlformats.org/officeDocument/2006/relationships/hyperlink" Target="https://www.gsaadvantage.gov/advantage/ws/catalog/product_detail?gsin=11000120572621" TargetMode="External"/><Relationship Id="rId21" Type="http://schemas.openxmlformats.org/officeDocument/2006/relationships/hyperlink" Target="https://www.digikey.com/en/products/detail/w%C3%BCrth-elektronik/6006330101/10107081" TargetMode="External"/><Relationship Id="rId34" Type="http://schemas.openxmlformats.org/officeDocument/2006/relationships/hyperlink" Target="https://epiqsolutions.com/modules/sidekiq-x4" TargetMode="External"/><Relationship Id="rId7" Type="http://schemas.openxmlformats.org/officeDocument/2006/relationships/hyperlink" Target="https://satcomsolutions.org/product/brandywine-nfs220-10-mhz-reference-gps-synchronized-clock/" TargetMode="External"/><Relationship Id="rId12" Type="http://schemas.openxmlformats.org/officeDocument/2006/relationships/hyperlink" Target="https://www.meanwell.com/webapp/product/search.aspx?prod=RCP-1000" TargetMode="External"/><Relationship Id="rId17" Type="http://schemas.openxmlformats.org/officeDocument/2006/relationships/hyperlink" Target="https://www.newark.com/keysight-technologies/1cm010a/1cm010a-rack-mount-flange-kit/dp/05X9265" TargetMode="External"/><Relationship Id="rId25" Type="http://schemas.openxmlformats.org/officeDocument/2006/relationships/hyperlink" Target="https://www.bhphotovideo.com/c/product/1429403-REG/apc_srt2200rmxla_smart_ups_srt_2200va_rm.html/?ap=y&amp;ap=y&amp;smp=y&amp;smp=y&amp;store=420&amp;smpm=ba_f2_lar&amp;lsft=BI%3A514&amp;gad_source=1&amp;gad_campaignid=21407301339&amp;gbraid=0AAAAAD7yMh1puJJFoSI056ffRCdnuNKh9&amp;gclid=CjwKCAiAzZ_NBhAEEiwAMtqKyz-0SeZaaqVG33dJ3iKXp8OvTqpDAYTM4FNXwpJOzBCxFu9GIkSpaxoCIYIQAvD_BwE" TargetMode="External"/><Relationship Id="rId33" Type="http://schemas.openxmlformats.org/officeDocument/2006/relationships/hyperlink" Target="https://epiqsolutions.com/modules/sidekiq-x4" TargetMode="External"/><Relationship Id="rId2" Type="http://schemas.openxmlformats.org/officeDocument/2006/relationships/hyperlink" Target="https://epiqsolutions.com/modules/sidekiq-x4" TargetMode="External"/><Relationship Id="rId16" Type="http://schemas.openxmlformats.org/officeDocument/2006/relationships/hyperlink" Target="https://www.ettus.com/all-products/usrp-n3xx-rack-mount-accessory/" TargetMode="External"/><Relationship Id="rId20" Type="http://schemas.openxmlformats.org/officeDocument/2006/relationships/hyperlink" Target="https://www.digikey.com/en/products/detail/mini-circuits/VAT-30W2/20526783" TargetMode="External"/><Relationship Id="rId29" Type="http://schemas.openxmlformats.org/officeDocument/2006/relationships/hyperlink" Target="https://www.dell.com/en-us/shop/dell-laptops/precision-7680-workstation/spd/precision-16-7680-laptop" TargetMode="External"/><Relationship Id="rId1" Type="http://schemas.openxmlformats.org/officeDocument/2006/relationships/hyperlink" Target="https://epiqsolutions.com/modules/sidekiq-x4" TargetMode="External"/><Relationship Id="rId6" Type="http://schemas.openxmlformats.org/officeDocument/2006/relationships/hyperlink" Target="https://www.keysight.com/us/en/product/N5182A/mxg-vector-signal-generator-100-khz-to-6-ghz.html" TargetMode="External"/><Relationship Id="rId11" Type="http://schemas.openxmlformats.org/officeDocument/2006/relationships/hyperlink" Target="https://www.digikey.com/en/products/detail/mcgill-microwave-systems/RG58-BM-NM-QTY-50FT/18790603" TargetMode="External"/><Relationship Id="rId24" Type="http://schemas.openxmlformats.org/officeDocument/2006/relationships/hyperlink" Target="https://www.fs.com/products/66613.html" TargetMode="External"/><Relationship Id="rId32" Type="http://schemas.openxmlformats.org/officeDocument/2006/relationships/hyperlink" Target="https://www.apc.com/shop/us/en/products/NetBotz-Rack-Monitor-250/P-NBRK0250" TargetMode="External"/><Relationship Id="rId37" Type="http://schemas.openxmlformats.org/officeDocument/2006/relationships/hyperlink" Target="https://satcomsolutions.org/product/brandywine-nfs220-10-mhz-reference-gps-synchronized-clock/" TargetMode="External"/><Relationship Id="rId5" Type="http://schemas.openxmlformats.org/officeDocument/2006/relationships/hyperlink" Target="https://www.alldataresource.com/CommScope-ICX7850-48F-E2-Fiber-Aggregation-Switch-48sfpsfp28-1025gbps-Ports_p_642646.html" TargetMode="External"/><Relationship Id="rId15" Type="http://schemas.openxmlformats.org/officeDocument/2006/relationships/hyperlink" Target="https://www.server-rack-online.com/ar3104/" TargetMode="External"/><Relationship Id="rId23" Type="http://schemas.openxmlformats.org/officeDocument/2006/relationships/hyperlink" Target="https://www.monoprice.com/product?p_id=15147" TargetMode="External"/><Relationship Id="rId28" Type="http://schemas.openxmlformats.org/officeDocument/2006/relationships/hyperlink" Target="https://www.raritan.com/products/kvm-switches/dominion-kx-iii" TargetMode="External"/><Relationship Id="rId36" Type="http://schemas.openxmlformats.org/officeDocument/2006/relationships/hyperlink" Target="https://www.ettus.com/all-products/ub210-kit/" TargetMode="External"/><Relationship Id="rId10" Type="http://schemas.openxmlformats.org/officeDocument/2006/relationships/hyperlink" Target="https://www.talleycom.com/product/MXRGPS-TMG-HR-26N" TargetMode="External"/><Relationship Id="rId19" Type="http://schemas.openxmlformats.org/officeDocument/2006/relationships/hyperlink" Target="https://www.startech.com/en-us/server-management/cabshelf" TargetMode="External"/><Relationship Id="rId31" Type="http://schemas.openxmlformats.org/officeDocument/2006/relationships/hyperlink" Target="https://www.pelican.com/us/en/product/cases/air/1535" TargetMode="External"/><Relationship Id="rId4" Type="http://schemas.openxmlformats.org/officeDocument/2006/relationships/hyperlink" Target="https://www.ettus.com/all-products/usrp-n310/" TargetMode="External"/><Relationship Id="rId9" Type="http://schemas.openxmlformats.org/officeDocument/2006/relationships/hyperlink" Target="https://www.sealevel.com/ultra-comm-8-pcie-pci-express-8-port-rs-232-rs-422-rs-485-serial-interface/" TargetMode="External"/><Relationship Id="rId14" Type="http://schemas.openxmlformats.org/officeDocument/2006/relationships/hyperlink" Target="https://www.tripplite.com/metered-pdu-20a-120v-1u-rackmount-l5-20p-12-5-15-20r-outlets~PDUMH20" TargetMode="External"/><Relationship Id="rId22" Type="http://schemas.openxmlformats.org/officeDocument/2006/relationships/hyperlink" Target="https://www.digikey.com/en/products/detail/finisar-corporation/FCBG110SD1C02/25994412" TargetMode="External"/><Relationship Id="rId27" Type="http://schemas.openxmlformats.org/officeDocument/2006/relationships/hyperlink" Target="https://acinfinity.com/component-cooling/rack-fan-systems/cloudplate-t1-quiet-rack-cooling-fan-system-1u-exhaust/" TargetMode="External"/><Relationship Id="rId30" Type="http://schemas.openxmlformats.org/officeDocument/2006/relationships/hyperlink" Target="https://www.owc.com/solutions/thunderbolt-3-10g-ethernet-adapter" TargetMode="External"/><Relationship Id="rId35" Type="http://schemas.openxmlformats.org/officeDocument/2006/relationships/hyperlink" Target="https://www.ettus.com/all-products/usrp-n310/" TargetMode="External"/><Relationship Id="rId8" Type="http://schemas.openxmlformats.org/officeDocument/2006/relationships/hyperlink" Target="https://www.ettus.com/all-products/ub210-kit/" TargetMode="External"/><Relationship Id="rId3" Type="http://schemas.openxmlformats.org/officeDocument/2006/relationships/hyperlink" Target="https://www.crystalrugged.com/products/rugged-servers/rs378-rugged-3u-ser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0A60-2785-4432-BCA8-A09895F74865}">
  <dimension ref="A2:G75"/>
  <sheetViews>
    <sheetView workbookViewId="0">
      <selection activeCell="G9" sqref="G9"/>
    </sheetView>
  </sheetViews>
  <sheetFormatPr defaultRowHeight="14.45"/>
  <cols>
    <col min="2" max="2" width="24.28515625" customWidth="1"/>
    <col min="3" max="3" width="3.42578125" bestFit="1" customWidth="1"/>
    <col min="4" max="4" width="15.7109375" customWidth="1"/>
    <col min="5" max="5" width="58" customWidth="1"/>
    <col min="6" max="6" width="15.7109375" customWidth="1"/>
    <col min="7" max="7" width="29.42578125" bestFit="1" customWidth="1"/>
  </cols>
  <sheetData>
    <row r="2" spans="1:7" ht="15" thickBot="1">
      <c r="B2" s="12" t="s">
        <v>0</v>
      </c>
    </row>
    <row r="3" spans="1:7" ht="15" thickBot="1">
      <c r="B3" s="6" t="s">
        <v>1</v>
      </c>
      <c r="C3" s="5" t="s">
        <v>2</v>
      </c>
      <c r="D3" s="6" t="s">
        <v>3</v>
      </c>
      <c r="E3" s="6" t="s">
        <v>4</v>
      </c>
      <c r="F3" s="6" t="s">
        <v>5</v>
      </c>
    </row>
    <row r="4" spans="1:7" ht="15" thickBot="1">
      <c r="A4" s="19" t="b">
        <v>1</v>
      </c>
      <c r="B4" s="4" t="s">
        <v>6</v>
      </c>
      <c r="C4" s="5">
        <v>1</v>
      </c>
      <c r="D4" s="6" t="s">
        <v>7</v>
      </c>
      <c r="E4" s="6" t="s">
        <v>8</v>
      </c>
      <c r="F4" s="7">
        <v>51544</v>
      </c>
      <c r="G4" s="6" t="s">
        <v>9</v>
      </c>
    </row>
    <row r="5" spans="1:7" ht="15" thickBot="1">
      <c r="A5" s="19" t="b">
        <v>1</v>
      </c>
      <c r="B5" s="8" t="s">
        <v>10</v>
      </c>
      <c r="C5" s="9">
        <v>1</v>
      </c>
      <c r="D5" s="10" t="s">
        <v>11</v>
      </c>
      <c r="E5" s="10" t="s">
        <v>12</v>
      </c>
      <c r="F5" s="11">
        <v>4779</v>
      </c>
      <c r="G5" s="6" t="s">
        <v>9</v>
      </c>
    </row>
    <row r="6" spans="1:7" ht="23.45" thickBot="1">
      <c r="A6" s="19" t="b">
        <v>1</v>
      </c>
      <c r="B6" s="4" t="s">
        <v>13</v>
      </c>
      <c r="C6" s="5">
        <v>2</v>
      </c>
      <c r="D6" s="6" t="s">
        <v>14</v>
      </c>
      <c r="E6" s="6" t="s">
        <v>15</v>
      </c>
      <c r="F6" s="7">
        <v>150000</v>
      </c>
      <c r="G6" t="s">
        <v>16</v>
      </c>
    </row>
    <row r="7" spans="1:7" ht="15" thickBot="1">
      <c r="A7" s="19" t="b">
        <v>1</v>
      </c>
      <c r="B7" s="8" t="s">
        <v>17</v>
      </c>
      <c r="C7" s="9">
        <v>1</v>
      </c>
      <c r="D7" s="10" t="s">
        <v>18</v>
      </c>
      <c r="E7" s="10" t="s">
        <v>19</v>
      </c>
      <c r="F7" s="11">
        <v>20826</v>
      </c>
      <c r="G7" t="s">
        <v>20</v>
      </c>
    </row>
    <row r="8" spans="1:7" ht="15" thickBot="1">
      <c r="A8" s="19" t="b">
        <v>1</v>
      </c>
      <c r="B8" s="4" t="s">
        <v>21</v>
      </c>
      <c r="C8" s="5">
        <v>1</v>
      </c>
      <c r="D8" s="6" t="s">
        <v>22</v>
      </c>
      <c r="E8" s="6" t="s">
        <v>23</v>
      </c>
      <c r="F8" s="7">
        <v>17689</v>
      </c>
    </row>
    <row r="9" spans="1:7" ht="15" thickBot="1">
      <c r="A9" s="19" t="b">
        <v>1</v>
      </c>
      <c r="B9" s="8" t="s">
        <v>24</v>
      </c>
      <c r="C9" s="9">
        <v>1</v>
      </c>
      <c r="D9" s="10" t="s">
        <v>25</v>
      </c>
      <c r="E9" s="10" t="s">
        <v>26</v>
      </c>
      <c r="F9" s="11">
        <v>12500</v>
      </c>
      <c r="G9" t="s">
        <v>27</v>
      </c>
    </row>
    <row r="10" spans="1:7" ht="15" thickBot="1">
      <c r="A10" s="19" t="b">
        <v>1</v>
      </c>
      <c r="B10" s="4" t="s">
        <v>28</v>
      </c>
      <c r="C10" s="5">
        <v>1</v>
      </c>
      <c r="D10" s="6">
        <v>95000001</v>
      </c>
      <c r="E10" s="6" t="s">
        <v>29</v>
      </c>
      <c r="F10" s="7">
        <v>7500</v>
      </c>
    </row>
    <row r="11" spans="1:7" ht="15" thickBot="1">
      <c r="A11" s="19" t="b">
        <v>1</v>
      </c>
      <c r="B11" s="8" t="s">
        <v>30</v>
      </c>
      <c r="C11" s="9">
        <v>1</v>
      </c>
      <c r="D11" s="10" t="s">
        <v>31</v>
      </c>
      <c r="E11" s="10" t="s">
        <v>32</v>
      </c>
      <c r="F11" s="11">
        <v>1600</v>
      </c>
      <c r="G11" t="s">
        <v>33</v>
      </c>
    </row>
    <row r="12" spans="1:7" ht="15" thickBot="1">
      <c r="A12" s="19" t="b">
        <v>1</v>
      </c>
      <c r="B12" s="4" t="s">
        <v>34</v>
      </c>
      <c r="C12" s="5">
        <v>1</v>
      </c>
      <c r="D12" s="6" t="s">
        <v>35</v>
      </c>
      <c r="E12" s="6" t="s">
        <v>36</v>
      </c>
      <c r="F12" s="7">
        <v>487</v>
      </c>
    </row>
    <row r="13" spans="1:7" ht="15" thickBot="1"/>
    <row r="14" spans="1:7" ht="15" thickBot="1">
      <c r="B14" s="6" t="s">
        <v>37</v>
      </c>
      <c r="C14" s="5">
        <v>1</v>
      </c>
      <c r="D14" s="6" t="s">
        <v>9</v>
      </c>
      <c r="E14" s="6" t="s">
        <v>38</v>
      </c>
      <c r="F14" s="7">
        <v>284</v>
      </c>
    </row>
    <row r="15" spans="1:7" ht="15" thickBot="1">
      <c r="B15" s="10" t="s">
        <v>39</v>
      </c>
      <c r="C15" s="9"/>
      <c r="D15" s="10"/>
      <c r="E15" s="10"/>
      <c r="F15" s="11">
        <f>SUM(F4:F14)</f>
        <v>267209</v>
      </c>
    </row>
    <row r="17" spans="1:7" ht="15" thickBot="1">
      <c r="B17" t="s">
        <v>40</v>
      </c>
    </row>
    <row r="18" spans="1:7" ht="15" thickBot="1">
      <c r="B18" s="6" t="s">
        <v>1</v>
      </c>
      <c r="C18" s="5" t="s">
        <v>2</v>
      </c>
      <c r="D18" s="6" t="s">
        <v>41</v>
      </c>
      <c r="E18" s="6" t="s">
        <v>42</v>
      </c>
      <c r="F18" s="6" t="s">
        <v>5</v>
      </c>
    </row>
    <row r="19" spans="1:7" ht="23.45" thickBot="1">
      <c r="A19" s="19" t="b">
        <v>1</v>
      </c>
      <c r="B19" s="4" t="s">
        <v>43</v>
      </c>
      <c r="C19" s="5">
        <v>1</v>
      </c>
      <c r="D19" s="6" t="s">
        <v>44</v>
      </c>
      <c r="E19" s="6" t="s">
        <v>45</v>
      </c>
      <c r="F19" s="7">
        <v>237</v>
      </c>
    </row>
    <row r="20" spans="1:7" ht="15" thickBot="1">
      <c r="A20" s="19" t="b">
        <v>1</v>
      </c>
      <c r="B20" s="8" t="s">
        <v>46</v>
      </c>
      <c r="C20" s="9">
        <v>1</v>
      </c>
      <c r="D20" s="10" t="s">
        <v>47</v>
      </c>
      <c r="E20" s="10" t="s">
        <v>48</v>
      </c>
      <c r="F20" s="11">
        <v>80</v>
      </c>
    </row>
    <row r="21" spans="1:7" ht="15" thickBot="1">
      <c r="A21" s="19" t="b">
        <v>1</v>
      </c>
      <c r="B21" s="4" t="s">
        <v>49</v>
      </c>
      <c r="C21" s="5">
        <v>1</v>
      </c>
      <c r="D21" s="6" t="s">
        <v>50</v>
      </c>
      <c r="E21" s="6" t="s">
        <v>51</v>
      </c>
      <c r="F21" s="7">
        <v>320</v>
      </c>
    </row>
    <row r="22" spans="1:7" ht="15" thickBot="1">
      <c r="A22" s="19" t="b">
        <v>1</v>
      </c>
      <c r="B22" s="8" t="s">
        <v>52</v>
      </c>
      <c r="C22" s="9">
        <v>1</v>
      </c>
      <c r="D22" s="10" t="s">
        <v>53</v>
      </c>
      <c r="E22" s="10" t="s">
        <v>54</v>
      </c>
      <c r="F22" s="11">
        <v>240</v>
      </c>
    </row>
    <row r="23" spans="1:7" ht="15" thickBot="1">
      <c r="A23" s="19" t="b">
        <v>1</v>
      </c>
      <c r="B23" s="4" t="s">
        <v>55</v>
      </c>
      <c r="C23" s="5">
        <v>1</v>
      </c>
      <c r="D23" s="6" t="s">
        <v>56</v>
      </c>
      <c r="E23" s="6" t="s">
        <v>57</v>
      </c>
      <c r="F23" s="7">
        <v>350</v>
      </c>
    </row>
    <row r="24" spans="1:7" ht="15" thickBot="1">
      <c r="B24" s="10" t="s">
        <v>58</v>
      </c>
      <c r="C24" s="9"/>
      <c r="D24" s="10"/>
      <c r="E24" s="10"/>
      <c r="F24" s="11">
        <f>SUM(F19:F23)</f>
        <v>1227</v>
      </c>
    </row>
    <row r="26" spans="1:7" ht="15" thickBot="1">
      <c r="B26" t="s">
        <v>59</v>
      </c>
    </row>
    <row r="27" spans="1:7" ht="15" thickBot="1">
      <c r="B27" s="6" t="s">
        <v>1</v>
      </c>
      <c r="C27" s="5" t="s">
        <v>2</v>
      </c>
      <c r="D27" s="6" t="s">
        <v>3</v>
      </c>
      <c r="E27" s="6" t="s">
        <v>42</v>
      </c>
      <c r="F27" s="6" t="s">
        <v>5</v>
      </c>
    </row>
    <row r="28" spans="1:7" ht="15" thickBot="1">
      <c r="A28" s="19" t="b">
        <v>1</v>
      </c>
      <c r="B28" s="4" t="s">
        <v>60</v>
      </c>
      <c r="C28" s="5">
        <v>1</v>
      </c>
      <c r="D28" s="6" t="s">
        <v>61</v>
      </c>
      <c r="E28" s="6" t="s">
        <v>62</v>
      </c>
      <c r="F28" s="7">
        <v>2029</v>
      </c>
    </row>
    <row r="29" spans="1:7" ht="15" thickBot="1">
      <c r="A29" s="19" t="b">
        <v>1</v>
      </c>
      <c r="B29" s="8" t="s">
        <v>63</v>
      </c>
      <c r="C29" s="9">
        <v>1</v>
      </c>
      <c r="D29" s="10" t="s">
        <v>64</v>
      </c>
      <c r="E29" s="10" t="s">
        <v>65</v>
      </c>
      <c r="F29" s="11">
        <v>610</v>
      </c>
    </row>
    <row r="30" spans="1:7" ht="15" thickBot="1">
      <c r="A30" s="19" t="b">
        <v>1</v>
      </c>
      <c r="B30" s="4" t="s">
        <v>66</v>
      </c>
      <c r="C30" s="5">
        <v>1</v>
      </c>
      <c r="D30" s="6" t="s">
        <v>67</v>
      </c>
      <c r="E30" s="6" t="s">
        <v>68</v>
      </c>
      <c r="F30" s="7">
        <v>157</v>
      </c>
      <c r="G30" t="s">
        <v>69</v>
      </c>
    </row>
    <row r="31" spans="1:7" ht="15" thickBot="1">
      <c r="A31" s="19" t="b">
        <v>1</v>
      </c>
      <c r="B31" s="8" t="s">
        <v>70</v>
      </c>
      <c r="C31" s="9">
        <v>1</v>
      </c>
      <c r="D31" s="10" t="s">
        <v>71</v>
      </c>
      <c r="E31" s="10" t="s">
        <v>72</v>
      </c>
      <c r="F31" s="11">
        <v>60</v>
      </c>
    </row>
    <row r="32" spans="1:7" ht="15" thickBot="1">
      <c r="A32" s="19" t="b">
        <v>1</v>
      </c>
      <c r="B32" s="4" t="s">
        <v>73</v>
      </c>
      <c r="C32" s="5">
        <v>1</v>
      </c>
      <c r="D32" s="6" t="s">
        <v>74</v>
      </c>
      <c r="E32" s="6" t="s">
        <v>75</v>
      </c>
      <c r="F32" s="7">
        <v>60</v>
      </c>
    </row>
    <row r="33" spans="1:7" ht="15" thickBot="1">
      <c r="B33" s="10" t="s">
        <v>76</v>
      </c>
      <c r="C33" s="9"/>
      <c r="D33" s="10"/>
      <c r="E33" s="10"/>
      <c r="F33" s="11">
        <f>SUM(F28:F32)</f>
        <v>2916</v>
      </c>
    </row>
    <row r="35" spans="1:7">
      <c r="B35" t="s">
        <v>77</v>
      </c>
    </row>
    <row r="36" spans="1:7">
      <c r="B36" s="14" t="s">
        <v>1</v>
      </c>
      <c r="C36" s="13" t="s">
        <v>2</v>
      </c>
      <c r="D36" s="14" t="s">
        <v>41</v>
      </c>
      <c r="E36" s="14" t="s">
        <v>42</v>
      </c>
      <c r="F36" s="14" t="s">
        <v>5</v>
      </c>
    </row>
    <row r="37" spans="1:7">
      <c r="A37" s="19" t="b">
        <v>1</v>
      </c>
      <c r="B37" s="1" t="s">
        <v>78</v>
      </c>
      <c r="C37" s="13">
        <v>10</v>
      </c>
      <c r="D37" s="14" t="s">
        <v>79</v>
      </c>
      <c r="E37" s="14" t="s">
        <v>80</v>
      </c>
      <c r="F37" s="15">
        <v>310</v>
      </c>
      <c r="G37" t="s">
        <v>81</v>
      </c>
    </row>
    <row r="38" spans="1:7">
      <c r="A38" s="19" t="b">
        <v>1</v>
      </c>
      <c r="B38" s="3" t="s">
        <v>82</v>
      </c>
      <c r="C38" s="16">
        <v>1</v>
      </c>
      <c r="D38" s="17" t="s">
        <v>83</v>
      </c>
      <c r="E38" s="17" t="s">
        <v>84</v>
      </c>
      <c r="F38" s="18">
        <v>195</v>
      </c>
    </row>
    <row r="39" spans="1:7" ht="29.1">
      <c r="A39" s="19" t="b">
        <v>0</v>
      </c>
      <c r="B39" s="1" t="s">
        <v>85</v>
      </c>
      <c r="C39" s="13">
        <v>6</v>
      </c>
      <c r="D39" s="14" t="s">
        <v>86</v>
      </c>
      <c r="E39" s="14" t="s">
        <v>87</v>
      </c>
      <c r="F39" s="15">
        <v>480</v>
      </c>
      <c r="G39" t="s">
        <v>88</v>
      </c>
    </row>
    <row r="40" spans="1:7">
      <c r="A40" s="19" t="b">
        <v>0</v>
      </c>
      <c r="B40" s="20" t="s">
        <v>89</v>
      </c>
      <c r="C40" s="16">
        <v>6</v>
      </c>
      <c r="D40" s="17" t="s">
        <v>90</v>
      </c>
      <c r="E40" s="17" t="s">
        <v>91</v>
      </c>
      <c r="F40" s="18">
        <v>180</v>
      </c>
      <c r="G40" t="s">
        <v>88</v>
      </c>
    </row>
    <row r="41" spans="1:7">
      <c r="A41" s="19" t="b">
        <v>0</v>
      </c>
      <c r="B41" s="20" t="s">
        <v>92</v>
      </c>
      <c r="C41" s="13">
        <v>4</v>
      </c>
      <c r="D41" s="14" t="s">
        <v>93</v>
      </c>
      <c r="E41" s="14" t="s">
        <v>94</v>
      </c>
      <c r="F41" s="15">
        <v>250</v>
      </c>
      <c r="G41" t="s">
        <v>88</v>
      </c>
    </row>
    <row r="42" spans="1:7">
      <c r="A42" s="19" t="b">
        <v>1</v>
      </c>
      <c r="B42" s="3" t="s">
        <v>95</v>
      </c>
      <c r="C42" s="16">
        <v>10</v>
      </c>
      <c r="D42" s="17" t="s">
        <v>96</v>
      </c>
      <c r="E42" s="17" t="s">
        <v>97</v>
      </c>
      <c r="F42" s="18">
        <v>100</v>
      </c>
    </row>
    <row r="43" spans="1:7" ht="29.1">
      <c r="A43" s="19" t="b">
        <v>0</v>
      </c>
      <c r="B43" s="1" t="s">
        <v>98</v>
      </c>
      <c r="C43" s="13">
        <v>1</v>
      </c>
      <c r="D43" s="14" t="s">
        <v>99</v>
      </c>
      <c r="E43" s="14" t="s">
        <v>100</v>
      </c>
      <c r="F43" s="15">
        <v>65</v>
      </c>
      <c r="G43" t="s">
        <v>88</v>
      </c>
    </row>
    <row r="44" spans="1:7">
      <c r="B44" s="17" t="s">
        <v>101</v>
      </c>
      <c r="C44" s="16"/>
      <c r="D44" s="17"/>
      <c r="E44" s="17"/>
      <c r="F44" s="18">
        <f>SUM(F37:F43)</f>
        <v>1580</v>
      </c>
    </row>
    <row r="46" spans="1:7">
      <c r="B46" t="s">
        <v>102</v>
      </c>
    </row>
    <row r="49" spans="1:7" ht="15" thickBot="1">
      <c r="B49" t="s">
        <v>103</v>
      </c>
    </row>
    <row r="50" spans="1:7" ht="15" thickBot="1">
      <c r="B50" s="6" t="s">
        <v>1</v>
      </c>
      <c r="C50" s="5" t="s">
        <v>2</v>
      </c>
      <c r="D50" s="6" t="s">
        <v>3</v>
      </c>
      <c r="E50" s="6" t="s">
        <v>42</v>
      </c>
      <c r="F50" s="6" t="s">
        <v>5</v>
      </c>
    </row>
    <row r="51" spans="1:7" ht="15" thickBot="1">
      <c r="A51" s="19" t="b">
        <v>1</v>
      </c>
      <c r="B51" s="4" t="s">
        <v>104</v>
      </c>
      <c r="C51" s="5">
        <v>1</v>
      </c>
      <c r="D51" s="6" t="s">
        <v>105</v>
      </c>
      <c r="E51" s="6" t="s">
        <v>106</v>
      </c>
      <c r="F51" s="7">
        <v>2800</v>
      </c>
    </row>
    <row r="52" spans="1:7" ht="15" thickBot="1">
      <c r="A52" s="19" t="b">
        <v>1</v>
      </c>
      <c r="B52" s="8" t="s">
        <v>107</v>
      </c>
      <c r="C52" s="9">
        <v>2</v>
      </c>
      <c r="D52" s="10" t="s">
        <v>108</v>
      </c>
      <c r="E52" s="10" t="s">
        <v>109</v>
      </c>
      <c r="F52" s="11">
        <v>4500</v>
      </c>
    </row>
    <row r="53" spans="1:7" ht="23.45" thickBot="1">
      <c r="A53" s="19" t="b">
        <v>1</v>
      </c>
      <c r="B53" s="4" t="s">
        <v>110</v>
      </c>
      <c r="C53" s="5">
        <v>1</v>
      </c>
      <c r="D53" s="6" t="s">
        <v>111</v>
      </c>
      <c r="E53" s="6" t="s">
        <v>112</v>
      </c>
      <c r="F53" s="7">
        <v>140</v>
      </c>
    </row>
    <row r="54" spans="1:7" ht="23.45" thickBot="1">
      <c r="A54" s="19" t="b">
        <v>0</v>
      </c>
      <c r="B54" s="8" t="s">
        <v>113</v>
      </c>
      <c r="C54" s="9">
        <v>1</v>
      </c>
      <c r="D54" s="10" t="s">
        <v>114</v>
      </c>
      <c r="E54" s="10" t="s">
        <v>115</v>
      </c>
      <c r="F54" s="11">
        <v>4000</v>
      </c>
      <c r="G54" t="s">
        <v>116</v>
      </c>
    </row>
    <row r="55" spans="1:7" ht="15" thickBot="1">
      <c r="A55" s="19" t="b">
        <v>1</v>
      </c>
      <c r="B55" s="4" t="s">
        <v>117</v>
      </c>
      <c r="C55" s="5">
        <v>1</v>
      </c>
      <c r="D55" s="6" t="s">
        <v>118</v>
      </c>
      <c r="E55" s="6" t="s">
        <v>119</v>
      </c>
      <c r="F55" s="7">
        <v>850</v>
      </c>
    </row>
    <row r="56" spans="1:7" ht="15" thickBot="1">
      <c r="A56" s="19" t="b">
        <v>1</v>
      </c>
      <c r="B56" s="4" t="s">
        <v>120</v>
      </c>
      <c r="C56" s="5">
        <v>1</v>
      </c>
      <c r="D56" s="6"/>
      <c r="E56" s="6" t="s">
        <v>121</v>
      </c>
      <c r="F56" s="7">
        <v>2000</v>
      </c>
    </row>
    <row r="57" spans="1:7" ht="15" thickBot="1">
      <c r="B57" s="6" t="s">
        <v>122</v>
      </c>
      <c r="C57" s="5"/>
      <c r="D57" s="6"/>
      <c r="E57" s="6"/>
      <c r="F57" s="7">
        <f>SUM(F51:F56)</f>
        <v>14290</v>
      </c>
    </row>
    <row r="58" spans="1:7" ht="15" thickBot="1">
      <c r="B58" s="6"/>
      <c r="C58" s="5"/>
      <c r="D58" s="6"/>
      <c r="E58" s="6"/>
      <c r="F58" s="7"/>
    </row>
    <row r="59" spans="1:7" ht="15" thickBot="1">
      <c r="B59" s="6"/>
      <c r="C59" s="5"/>
      <c r="D59" s="6"/>
      <c r="E59" s="6"/>
      <c r="F59" s="7"/>
    </row>
    <row r="60" spans="1:7" ht="15" thickBot="1">
      <c r="B60" s="6" t="s">
        <v>1</v>
      </c>
      <c r="C60" s="5" t="s">
        <v>2</v>
      </c>
      <c r="D60" s="6" t="s">
        <v>3</v>
      </c>
      <c r="E60" s="6" t="s">
        <v>42</v>
      </c>
      <c r="F60" s="6" t="s">
        <v>5</v>
      </c>
    </row>
    <row r="61" spans="1:7" ht="15" thickBot="1">
      <c r="A61" s="19" t="b">
        <v>1</v>
      </c>
      <c r="B61" s="4" t="s">
        <v>123</v>
      </c>
      <c r="C61" s="5">
        <v>1</v>
      </c>
      <c r="D61" s="6" t="s">
        <v>124</v>
      </c>
      <c r="E61" s="6" t="s">
        <v>125</v>
      </c>
      <c r="F61" s="7">
        <v>5800</v>
      </c>
      <c r="G61" t="s">
        <v>126</v>
      </c>
    </row>
    <row r="62" spans="1:7" ht="23.45" thickBot="1">
      <c r="A62" s="19" t="b">
        <v>1</v>
      </c>
      <c r="B62" s="8" t="s">
        <v>127</v>
      </c>
      <c r="C62" s="9">
        <v>1</v>
      </c>
      <c r="D62" s="10" t="s">
        <v>128</v>
      </c>
      <c r="E62" s="10" t="s">
        <v>129</v>
      </c>
      <c r="F62" s="11">
        <v>220</v>
      </c>
    </row>
    <row r="63" spans="1:7" ht="15" thickBot="1">
      <c r="A63" s="19" t="b">
        <v>1</v>
      </c>
      <c r="B63" s="4" t="s">
        <v>130</v>
      </c>
      <c r="C63" s="5">
        <v>1</v>
      </c>
      <c r="D63" s="6" t="s">
        <v>131</v>
      </c>
      <c r="E63" s="6" t="s">
        <v>132</v>
      </c>
      <c r="F63" s="7">
        <v>310</v>
      </c>
      <c r="G63" t="s">
        <v>133</v>
      </c>
    </row>
    <row r="64" spans="1:7" ht="15" thickBot="1">
      <c r="B64" s="10" t="s">
        <v>134</v>
      </c>
      <c r="C64" s="9"/>
      <c r="D64" s="10"/>
      <c r="E64" s="10"/>
      <c r="F64" s="11">
        <f>SUM(F61:F63)</f>
        <v>6330</v>
      </c>
    </row>
    <row r="66" spans="1:7">
      <c r="B66" t="s">
        <v>135</v>
      </c>
      <c r="F66" s="2">
        <f>SUM(F15,F24,F33,F44,F57,F64)</f>
        <v>293552</v>
      </c>
    </row>
    <row r="69" spans="1:7" ht="15" thickBot="1">
      <c r="B69" t="s">
        <v>136</v>
      </c>
    </row>
    <row r="70" spans="1:7" ht="15" thickBot="1">
      <c r="A70" s="19" t="b">
        <v>1</v>
      </c>
      <c r="B70" s="4" t="s">
        <v>6</v>
      </c>
      <c r="C70" s="5">
        <v>1</v>
      </c>
      <c r="D70" s="6" t="s">
        <v>7</v>
      </c>
      <c r="E70" s="6" t="s">
        <v>8</v>
      </c>
      <c r="F70" s="7">
        <v>51544</v>
      </c>
      <c r="G70" s="6" t="s">
        <v>9</v>
      </c>
    </row>
    <row r="71" spans="1:7" ht="15" thickBot="1">
      <c r="A71" s="19" t="b">
        <v>1</v>
      </c>
      <c r="B71" s="8" t="s">
        <v>10</v>
      </c>
      <c r="C71" s="9">
        <v>1</v>
      </c>
      <c r="D71" s="10" t="s">
        <v>11</v>
      </c>
      <c r="E71" s="10" t="s">
        <v>12</v>
      </c>
      <c r="F71" s="11">
        <v>4779</v>
      </c>
      <c r="G71" s="6" t="s">
        <v>9</v>
      </c>
    </row>
    <row r="72" spans="1:7" ht="15" thickBot="1">
      <c r="A72" s="19" t="b">
        <v>1</v>
      </c>
      <c r="B72" s="8" t="s">
        <v>17</v>
      </c>
      <c r="C72" s="9">
        <v>1</v>
      </c>
      <c r="D72" s="10" t="s">
        <v>18</v>
      </c>
      <c r="E72" s="10" t="s">
        <v>19</v>
      </c>
      <c r="F72" s="11">
        <v>20826</v>
      </c>
      <c r="G72" t="s">
        <v>20</v>
      </c>
    </row>
    <row r="73" spans="1:7" ht="15" thickBot="1">
      <c r="A73" s="19" t="b">
        <v>1</v>
      </c>
      <c r="B73" s="8" t="s">
        <v>30</v>
      </c>
      <c r="C73" s="9">
        <v>2</v>
      </c>
      <c r="D73" s="10" t="s">
        <v>31</v>
      </c>
      <c r="E73" s="10" t="s">
        <v>32</v>
      </c>
      <c r="F73" s="11">
        <v>1600</v>
      </c>
      <c r="G73" t="s">
        <v>33</v>
      </c>
    </row>
    <row r="74" spans="1:7" ht="15" thickBot="1">
      <c r="A74" s="19" t="b">
        <v>1</v>
      </c>
      <c r="B74" s="4" t="s">
        <v>28</v>
      </c>
      <c r="C74" s="5">
        <v>1</v>
      </c>
      <c r="D74" s="6">
        <v>95000001</v>
      </c>
      <c r="E74" s="6" t="s">
        <v>29</v>
      </c>
      <c r="F74" s="7">
        <v>7500</v>
      </c>
    </row>
    <row r="75" spans="1:7" ht="15" thickBot="1">
      <c r="F75" s="11">
        <f>SUM(F70:F74)</f>
        <v>86249</v>
      </c>
    </row>
  </sheetData>
  <hyperlinks>
    <hyperlink ref="B4" r:id="rId1" display="https://epiqsolutions.com/modules/sidekiq-x4" xr:uid="{C5ACBB49-87A4-4673-9BFE-0BB310745005}"/>
    <hyperlink ref="B5" r:id="rId2" display="https://epiqsolutions.com/modules/sidekiq-x4" xr:uid="{EC8B44BA-0552-4AB3-8B64-E08D81E01354}"/>
    <hyperlink ref="B6" r:id="rId3" display="https://www.crystalrugged.com/products/rugged-servers/rs378-rugged-3u-server/" xr:uid="{5DE717F8-FD82-4309-8832-970DA76C5958}"/>
    <hyperlink ref="B7" r:id="rId4" display="https://www.ettus.com/all-products/usrp-n310/" xr:uid="{382410D6-CAAB-44D3-95FB-3E20B0D3FD1A}"/>
    <hyperlink ref="B8" r:id="rId5" display="https://www.alldataresource.com/CommScope-ICX7850-48F-E2-Fiber-Aggregation-Switch-48sfpsfp28-1025gbps-Ports_p_642646.html" xr:uid="{8688740A-06E3-4E74-8D8C-303505C24C2C}"/>
    <hyperlink ref="B9" r:id="rId6" display="https://www.keysight.com/us/en/product/N5182A/mxg-vector-signal-generator-100-khz-to-6-ghz.html" xr:uid="{9D824E29-87AC-445E-921E-DDB0070DD622}"/>
    <hyperlink ref="B10" r:id="rId7" display="https://satcomsolutions.org/product/brandywine-nfs220-10-mhz-reference-gps-synchronized-clock/" xr:uid="{2ECE4310-6DF1-46E4-96A5-28997549BFFA}"/>
    <hyperlink ref="B11" r:id="rId8" display="https://www.ettus.com/all-products/ub210-kit/" xr:uid="{38873751-BA00-45B3-8043-E51A6108B674}"/>
    <hyperlink ref="B12" r:id="rId9" display="https://www.sealevel.com/ultra-comm-8-pcie-pci-express-8-port-rs-232-rs-422-rs-485-serial-interface/" xr:uid="{3EE8B720-623C-493D-BB2E-F55E933E33D2}"/>
    <hyperlink ref="B19" r:id="rId10" display="https://www.talleycom.com/product/MXRGPS-TMG-HR-26N" xr:uid="{2D6CE544-1484-446D-AAC1-2FF4DBE8A2B0}"/>
    <hyperlink ref="B20" r:id="rId11" xr:uid="{1669D6EE-0ECB-447A-83F5-C04FDEF188EC}"/>
    <hyperlink ref="B21" r:id="rId12" display="https://www.meanwell.com/webapp/product/search.aspx?prod=RCP-1000" xr:uid="{658DD5B3-603E-44F7-9DC0-637C419DC4F9}"/>
    <hyperlink ref="B22" r:id="rId13" display="https://www.meanwell.com/webapp/product/search.aspx?prod=RCP-1UI" xr:uid="{A70546FA-3549-43AA-BE0A-8C2424FA5FF3}"/>
    <hyperlink ref="B23" r:id="rId14" display="https://www.tripplite.com/metered-pdu-20a-120v-1u-rackmount-l5-20p-12-5-15-20r-outlets~PDUMH20" xr:uid="{FC6366B4-6D5D-4F3B-A5E4-D5A25D9D3277}"/>
    <hyperlink ref="B28" r:id="rId15" display="https://www.server-rack-online.com/ar3104/" xr:uid="{8EDFF825-1A87-4EB7-BD25-6222491A2018}"/>
    <hyperlink ref="B29" r:id="rId16" display="https://www.ettus.com/all-products/usrp-n3xx-rack-mount-accessory/" xr:uid="{420FDAEC-E06B-4D2F-B0B7-614A12FB09EC}"/>
    <hyperlink ref="B30" r:id="rId17" display="https://www.newark.com/keysight-technologies/1cm010a/1cm010a-rack-mount-flange-kit/dp/05X9265" xr:uid="{0521C54B-F2EA-4D63-8A7C-7936A71330A1}"/>
    <hyperlink ref="B31" r:id="rId18" xr:uid="{FDB4F4CA-91F9-4614-B07B-583A286C9430}"/>
    <hyperlink ref="B32" r:id="rId19" xr:uid="{1B2FF769-4698-4FD0-885B-F8E44E1F5702}"/>
    <hyperlink ref="B37" r:id="rId20" xr:uid="{E0459DE1-46F1-44BB-969F-062DF08C9DD4}"/>
    <hyperlink ref="B38" r:id="rId21" xr:uid="{7F77677F-5E16-4ED9-8382-B080AB5843F9}"/>
    <hyperlink ref="B39" r:id="rId22" xr:uid="{805C602C-11F7-49E0-9E44-EF96303239BA}"/>
    <hyperlink ref="B42" r:id="rId23" display="https://www.monoprice.com/product?p_id=15147" xr:uid="{71B892D5-5866-420B-B74A-D8E505C46B0E}"/>
    <hyperlink ref="B43" r:id="rId24" display="https://www.fs.com/products/66613.html" xr:uid="{6819D267-AFE8-4E32-A05E-C54E44C465F6}"/>
    <hyperlink ref="B51" r:id="rId25" xr:uid="{A22CD567-B5A0-4922-A827-8F7BCBFE063B}"/>
    <hyperlink ref="B52" r:id="rId26" xr:uid="{EBA64EA2-E947-461C-B2D7-4E7787885361}"/>
    <hyperlink ref="B53" r:id="rId27" display="https://acinfinity.com/component-cooling/rack-fan-systems/cloudplate-t1-quiet-rack-cooling-fan-system-1u-exhaust/" xr:uid="{66EDB9AA-2049-45B7-93EC-F9EAEFC4652D}"/>
    <hyperlink ref="B54" r:id="rId28" display="https://www.raritan.com/products/kvm-switches/dominion-kx-iii" xr:uid="{E43DC1FE-63DD-4C77-AEAA-016A9B56FEE7}"/>
    <hyperlink ref="B61" r:id="rId29" display="https://www.dell.com/en-us/shop/dell-laptops/precision-7680-workstation/spd/precision-16-7680-laptop" xr:uid="{B18C07BB-0D50-4AC4-A93A-7B52744A3E99}"/>
    <hyperlink ref="B62" r:id="rId30" display="https://www.owc.com/solutions/thunderbolt-3-10g-ethernet-adapter" xr:uid="{5CD0E74B-2DAD-4F8F-BDF4-BA0067EC47FB}"/>
    <hyperlink ref="B63" r:id="rId31" display="https://www.pelican.com/us/en/product/cases/air/1535" xr:uid="{0E29BBAC-140E-4A34-9C0D-0AD9A054EAFF}"/>
    <hyperlink ref="B55" r:id="rId32" display="https://www.apc.com/shop/us/en/products/NetBotz-Rack-Monitor-250/P-NBRK0250" xr:uid="{26E60BCD-CC26-4B70-ABDE-6143621886F5}"/>
    <hyperlink ref="B70" r:id="rId33" display="https://epiqsolutions.com/modules/sidekiq-x4" xr:uid="{310241EA-CC23-456D-AE0A-FBF6141BFD66}"/>
    <hyperlink ref="B71" r:id="rId34" display="https://epiqsolutions.com/modules/sidekiq-x4" xr:uid="{7D7E3B99-833B-4700-9D9A-3A78DB354536}"/>
    <hyperlink ref="B72" r:id="rId35" display="https://www.ettus.com/all-products/usrp-n310/" xr:uid="{D17BB70B-02E7-4C7F-AA2F-F9EA3423F40C}"/>
    <hyperlink ref="B73" r:id="rId36" display="https://www.ettus.com/all-products/ub210-kit/" xr:uid="{90F2C625-C88A-4363-AEA2-C8DAF5A79159}"/>
    <hyperlink ref="B74" r:id="rId37" display="https://satcomsolutions.org/product/brandywine-nfs220-10-mhz-reference-gps-synchronized-clock/" xr:uid="{E34F17F9-28C9-43B2-A32D-529BFD3729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22B0-6F4A-410D-940C-C7754F1AF521}">
  <dimension ref="B2:F16"/>
  <sheetViews>
    <sheetView tabSelected="1" workbookViewId="0">
      <selection activeCell="D25" sqref="D25"/>
    </sheetView>
  </sheetViews>
  <sheetFormatPr defaultRowHeight="14.45"/>
  <cols>
    <col min="2" max="2" width="13.28515625" customWidth="1"/>
    <col min="3" max="3" width="64.7109375" bestFit="1" customWidth="1"/>
    <col min="4" max="4" width="13.85546875" customWidth="1"/>
    <col min="5" max="5" width="11.140625" customWidth="1"/>
    <col min="6" max="6" width="14.7109375" bestFit="1" customWidth="1"/>
  </cols>
  <sheetData>
    <row r="2" spans="2:6" ht="20.100000000000001">
      <c r="B2" s="21" t="s">
        <v>137</v>
      </c>
      <c r="C2" s="21" t="s">
        <v>138</v>
      </c>
      <c r="D2" s="21" t="s">
        <v>139</v>
      </c>
      <c r="E2" s="21" t="s">
        <v>140</v>
      </c>
      <c r="F2" s="21" t="s">
        <v>141</v>
      </c>
    </row>
    <row r="3" spans="2:6">
      <c r="B3" s="22" t="s">
        <v>142</v>
      </c>
      <c r="C3" s="22" t="s">
        <v>143</v>
      </c>
      <c r="D3" s="24">
        <v>15000</v>
      </c>
      <c r="E3" s="24">
        <v>15000</v>
      </c>
      <c r="F3" s="22" t="s">
        <v>144</v>
      </c>
    </row>
    <row r="4" spans="2:6">
      <c r="B4" s="22" t="s">
        <v>145</v>
      </c>
      <c r="C4" s="22" t="s">
        <v>146</v>
      </c>
      <c r="D4" s="24">
        <v>18000</v>
      </c>
      <c r="E4" s="24">
        <v>22000</v>
      </c>
      <c r="F4" s="24">
        <v>24000</v>
      </c>
    </row>
    <row r="5" spans="2:6" ht="20.100000000000001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</row>
    <row r="6" spans="2:6">
      <c r="B6" s="23" t="s">
        <v>152</v>
      </c>
      <c r="C6" s="22"/>
      <c r="D6" s="24">
        <v>4000</v>
      </c>
      <c r="E6" s="24">
        <v>10000</v>
      </c>
      <c r="F6" s="22" t="s">
        <v>153</v>
      </c>
    </row>
    <row r="7" spans="2:6" ht="20.100000000000001">
      <c r="B7" s="22" t="s">
        <v>154</v>
      </c>
      <c r="C7" s="22" t="s">
        <v>155</v>
      </c>
      <c r="D7" s="22" t="s">
        <v>156</v>
      </c>
      <c r="E7" s="22" t="s">
        <v>157</v>
      </c>
      <c r="F7" s="22" t="s">
        <v>158</v>
      </c>
    </row>
    <row r="8" spans="2:6">
      <c r="B8" s="23" t="s">
        <v>152</v>
      </c>
      <c r="C8" s="22"/>
      <c r="D8" s="24">
        <v>3500</v>
      </c>
      <c r="E8" s="24">
        <v>7000</v>
      </c>
      <c r="F8" s="24">
        <v>15000</v>
      </c>
    </row>
    <row r="9" spans="2:6">
      <c r="B9" s="22" t="s">
        <v>159</v>
      </c>
      <c r="C9" s="22" t="s">
        <v>160</v>
      </c>
      <c r="D9" s="22" t="s">
        <v>161</v>
      </c>
      <c r="E9" s="22" t="s">
        <v>162</v>
      </c>
      <c r="F9" s="22" t="s">
        <v>163</v>
      </c>
    </row>
    <row r="10" spans="2:6">
      <c r="B10" s="23" t="s">
        <v>152</v>
      </c>
      <c r="C10" s="22"/>
      <c r="D10" s="24">
        <v>800</v>
      </c>
      <c r="E10" s="24">
        <v>1500</v>
      </c>
      <c r="F10" s="24">
        <v>2500</v>
      </c>
    </row>
    <row r="11" spans="2:6" ht="20.100000000000001">
      <c r="B11" s="22" t="s">
        <v>164</v>
      </c>
      <c r="C11" s="22" t="s">
        <v>165</v>
      </c>
      <c r="D11" s="22" t="s">
        <v>166</v>
      </c>
      <c r="E11" s="22" t="s">
        <v>167</v>
      </c>
      <c r="F11" s="22" t="s">
        <v>168</v>
      </c>
    </row>
    <row r="12" spans="2:6">
      <c r="B12" s="23" t="s">
        <v>152</v>
      </c>
      <c r="C12" s="22"/>
      <c r="D12" s="24">
        <v>2500</v>
      </c>
      <c r="E12" s="24">
        <v>5000</v>
      </c>
      <c r="F12" s="24">
        <v>10000</v>
      </c>
    </row>
    <row r="13" spans="2:6" ht="20.100000000000001">
      <c r="B13" s="22" t="s">
        <v>169</v>
      </c>
      <c r="C13" s="22" t="s">
        <v>170</v>
      </c>
      <c r="D13" s="22" t="s">
        <v>171</v>
      </c>
      <c r="E13" s="22" t="s">
        <v>172</v>
      </c>
      <c r="F13" s="22" t="s">
        <v>173</v>
      </c>
    </row>
    <row r="14" spans="2:6">
      <c r="B14" s="23" t="s">
        <v>152</v>
      </c>
      <c r="C14" s="22"/>
      <c r="D14" s="24">
        <v>800</v>
      </c>
      <c r="E14" s="24">
        <v>2000</v>
      </c>
      <c r="F14" s="24">
        <v>3500</v>
      </c>
    </row>
    <row r="15" spans="2:6">
      <c r="B15" s="22" t="s">
        <v>174</v>
      </c>
      <c r="C15" s="22" t="s">
        <v>174</v>
      </c>
      <c r="D15" s="22" t="s">
        <v>174</v>
      </c>
      <c r="E15" s="22" t="s">
        <v>174</v>
      </c>
      <c r="F15" s="22" t="s">
        <v>174</v>
      </c>
    </row>
    <row r="16" spans="2:6" ht="20.100000000000001">
      <c r="B16" s="22" t="s">
        <v>175</v>
      </c>
      <c r="C16" s="22"/>
      <c r="D16" s="22" t="s">
        <v>176</v>
      </c>
      <c r="E16" s="22" t="s">
        <v>177</v>
      </c>
      <c r="F16" s="22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05c4a1b-ca1b-40b7-bbff-d55e9ecc8d90">
      <Terms xmlns="http://schemas.microsoft.com/office/infopath/2007/PartnerControls"/>
    </lcf76f155ced4ddcb4097134ff3c332f>
    <TaxCatchAll xmlns="07152c32-7479-4a55-bdd9-bb1d0a1bb5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CE48E1B5C5444D920A30D763C53911" ma:contentTypeVersion="17" ma:contentTypeDescription="Create a new document." ma:contentTypeScope="" ma:versionID="17707c2c4828ef80bf090a99614e5942">
  <xsd:schema xmlns:xsd="http://www.w3.org/2001/XMLSchema" xmlns:xs="http://www.w3.org/2001/XMLSchema" xmlns:p="http://schemas.microsoft.com/office/2006/metadata/properties" xmlns:ns1="http://schemas.microsoft.com/sharepoint/v3" xmlns:ns2="a05c4a1b-ca1b-40b7-bbff-d55e9ecc8d90" xmlns:ns3="07152c32-7479-4a55-bdd9-bb1d0a1bb57d" targetNamespace="http://schemas.microsoft.com/office/2006/metadata/properties" ma:root="true" ma:fieldsID="b5b24e1bcc46fad887edce62b87de9e6" ns1:_="" ns2:_="" ns3:_="">
    <xsd:import namespace="http://schemas.microsoft.com/sharepoint/v3"/>
    <xsd:import namespace="a05c4a1b-ca1b-40b7-bbff-d55e9ecc8d90"/>
    <xsd:import namespace="07152c32-7479-4a55-bdd9-bb1d0a1bb5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c4a1b-ca1b-40b7-bbff-d55e9ecc8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52c32-7479-4a55-bdd9-bb1d0a1bb57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978e8-baed-4874-8579-828bb83fbd8b}" ma:internalName="TaxCatchAll" ma:showField="CatchAllData" ma:web="07152c32-7479-4a55-bdd9-bb1d0a1bb5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88B5D4-2324-4FA5-BFC9-A92A16E140E3}"/>
</file>

<file path=customXml/itemProps2.xml><?xml version="1.0" encoding="utf-8"?>
<ds:datastoreItem xmlns:ds="http://schemas.openxmlformats.org/officeDocument/2006/customXml" ds:itemID="{306313D5-C941-4D82-ACE3-9267B00D7BFB}"/>
</file>

<file path=customXml/itemProps3.xml><?xml version="1.0" encoding="utf-8"?>
<ds:datastoreItem xmlns:ds="http://schemas.openxmlformats.org/officeDocument/2006/customXml" ds:itemID="{162F3000-D45F-471E-95A2-0C320291DFE7}"/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MANN, MICHAEL T Lt Col USAF ACC 453 EWS/SWZ</dc:creator>
  <cp:keywords/>
  <dc:description/>
  <cp:lastModifiedBy>MANN, MICHAEL T Lt Col USAF ACC 453 EWS/SWZ</cp:lastModifiedBy>
  <cp:revision/>
  <dcterms:created xsi:type="dcterms:W3CDTF">2026-03-04T13:56:17Z</dcterms:created>
  <dcterms:modified xsi:type="dcterms:W3CDTF">2026-03-04T22:46:02Z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0x0101007FCE48E1B5C5444D920A30D763C53911</vt:lpwstr>
  </property>
</Properties>
</file>